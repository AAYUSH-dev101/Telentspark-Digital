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264" activeTab="3"/>
  </bookViews>
  <sheets>
    <sheet name="dataset" sheetId="1" r:id="rId1"/>
    <sheet name="Agreegate fonction" sheetId="2" r:id="rId2"/>
    <sheet name="Logical function" sheetId="3" r:id="rId3"/>
    <sheet name="Text Function" sheetId="4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4" l="1"/>
  <c r="H13" i="4"/>
  <c r="H3" i="4"/>
  <c r="T5" i="1"/>
  <c r="T4" i="1"/>
  <c r="T3" i="1"/>
  <c r="T6" i="1"/>
  <c r="T7" i="1"/>
  <c r="T8" i="1"/>
  <c r="T9" i="1"/>
  <c r="T10" i="1"/>
  <c r="T11" i="1"/>
  <c r="T12" i="1"/>
  <c r="T2" i="1"/>
  <c r="S3" i="1"/>
  <c r="S4" i="1"/>
  <c r="S5" i="1"/>
  <c r="S6" i="1"/>
  <c r="S7" i="1"/>
  <c r="S8" i="1"/>
  <c r="S9" i="1"/>
  <c r="S10" i="1"/>
  <c r="S11" i="1"/>
  <c r="S12" i="1"/>
  <c r="S2" i="1"/>
  <c r="Q3" i="1"/>
  <c r="Q4" i="1"/>
  <c r="Q5" i="1"/>
  <c r="Q6" i="1"/>
  <c r="Q7" i="1"/>
  <c r="Q8" i="1"/>
  <c r="Q9" i="1"/>
  <c r="Q10" i="1"/>
  <c r="Q11" i="1"/>
  <c r="Q2" i="1"/>
  <c r="U3" i="1"/>
  <c r="U4" i="1"/>
  <c r="U5" i="1"/>
  <c r="U6" i="1"/>
  <c r="U7" i="1"/>
  <c r="U8" i="1"/>
  <c r="U9" i="1"/>
  <c r="U10" i="1"/>
  <c r="U11" i="1"/>
  <c r="U12" i="1"/>
  <c r="U2" i="1"/>
  <c r="H29" i="2"/>
  <c r="R3" i="1" l="1"/>
  <c r="R4" i="1"/>
  <c r="R5" i="1"/>
  <c r="R6" i="1"/>
  <c r="R7" i="1"/>
  <c r="R8" i="1"/>
  <c r="R9" i="1"/>
  <c r="R10" i="1"/>
  <c r="R11" i="1"/>
  <c r="R2" i="1"/>
  <c r="P2" i="1" a="1"/>
  <c r="P2" i="1" s="1"/>
  <c r="O3" i="1"/>
  <c r="O4" i="1"/>
  <c r="O5" i="1"/>
  <c r="O6" i="1"/>
  <c r="O7" i="1"/>
  <c r="O8" i="1"/>
  <c r="O9" i="1"/>
  <c r="O10" i="1"/>
  <c r="O11" i="1"/>
  <c r="O2" i="1"/>
  <c r="L3" i="3"/>
  <c r="H25" i="2"/>
  <c r="H41" i="2"/>
  <c r="H37" i="2" l="1"/>
  <c r="H33" i="2"/>
  <c r="H21" i="2"/>
  <c r="H17" i="2"/>
  <c r="H13" i="2"/>
  <c r="H9" i="2"/>
  <c r="H5" i="2"/>
  <c r="F12" i="1"/>
  <c r="P11" i="1"/>
  <c r="P10" i="1"/>
  <c r="P9" i="1"/>
  <c r="P8" i="1"/>
  <c r="P7" i="1"/>
  <c r="P6" i="1"/>
  <c r="P5" i="1"/>
  <c r="P4" i="1"/>
  <c r="P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<sst xmlns="http://schemas.openxmlformats.org/spreadsheetml/2006/main" count="171" uniqueCount="152">
  <si>
    <t>Emp ID</t>
  </si>
  <si>
    <t>Employee Name</t>
  </si>
  <si>
    <t>Dept</t>
  </si>
  <si>
    <t>City</t>
  </si>
  <si>
    <t>Salary</t>
  </si>
  <si>
    <t>Sales</t>
  </si>
  <si>
    <t>Target</t>
  </si>
  <si>
    <t>Rating</t>
  </si>
  <si>
    <t>Attendance %</t>
  </si>
  <si>
    <t>Experience</t>
  </si>
  <si>
    <t>Phone</t>
  </si>
  <si>
    <t>Email</t>
  </si>
  <si>
    <t>E001</t>
  </si>
  <si>
    <t>Amit Sharma</t>
  </si>
  <si>
    <t>Mumbai</t>
  </si>
  <si>
    <t>amit@gmail.com</t>
  </si>
  <si>
    <t>E002</t>
  </si>
  <si>
    <t>Neha Patel</t>
  </si>
  <si>
    <t>HR</t>
  </si>
  <si>
    <t>Pune</t>
  </si>
  <si>
    <t>neha@gmail.com</t>
  </si>
  <si>
    <t>E003</t>
  </si>
  <si>
    <t>Rahul Verma</t>
  </si>
  <si>
    <t>IT</t>
  </si>
  <si>
    <t>rahul@gmail.com</t>
  </si>
  <si>
    <t>E004</t>
  </si>
  <si>
    <t>Priya Shah</t>
  </si>
  <si>
    <t>Nashik</t>
  </si>
  <si>
    <t>priya@gmail.com</t>
  </si>
  <si>
    <t>E005</t>
  </si>
  <si>
    <t>Sneha Joshi</t>
  </si>
  <si>
    <t>Finance</t>
  </si>
  <si>
    <t>sneha@gmail.com</t>
  </si>
  <si>
    <t>E006</t>
  </si>
  <si>
    <t>Karan Mehta</t>
  </si>
  <si>
    <t>Thane</t>
  </si>
  <si>
    <t>karan@gmail.com</t>
  </si>
  <si>
    <t>E007</t>
  </si>
  <si>
    <t>Pooja Gupta</t>
  </si>
  <si>
    <t>pooja@gmail.com</t>
  </si>
  <si>
    <t>E008</t>
  </si>
  <si>
    <t>Rohan Singh</t>
  </si>
  <si>
    <t>rohan@gmail.com</t>
  </si>
  <si>
    <t>E009</t>
  </si>
  <si>
    <t>Anjali Rao</t>
  </si>
  <si>
    <t>anjali@gmail.com</t>
  </si>
  <si>
    <t>E010</t>
  </si>
  <si>
    <t>Vijay Kumar</t>
  </si>
  <si>
    <t>vijay@gmail.com</t>
  </si>
  <si>
    <t>Aggregate Functions — Questions 1–10</t>
  </si>
  <si>
    <t>1. Total Salary</t>
  </si>
  <si>
    <r>
      <t xml:space="preserve">Calculate the </t>
    </r>
    <r>
      <rPr>
        <b/>
        <sz val="11"/>
        <color theme="1"/>
        <rFont val="Calibri"/>
        <family val="2"/>
        <scheme val="minor"/>
      </rPr>
      <t>total salary</t>
    </r>
    <r>
      <rPr>
        <sz val="11"/>
        <color theme="1"/>
        <rFont val="Calibri"/>
        <family val="2"/>
        <scheme val="minor"/>
      </rPr>
      <t xml:space="preserve"> paid to all employees.</t>
    </r>
  </si>
  <si>
    <t>2. Total Sales</t>
  </si>
  <si>
    <r>
      <t xml:space="preserve">Calculate the </t>
    </r>
    <r>
      <rPr>
        <b/>
        <sz val="11"/>
        <color theme="1"/>
        <rFont val="Calibri"/>
        <family val="2"/>
        <scheme val="minor"/>
      </rPr>
      <t>total sales</t>
    </r>
    <r>
      <rPr>
        <sz val="11"/>
        <color theme="1"/>
        <rFont val="Calibri"/>
        <family val="2"/>
        <scheme val="minor"/>
      </rPr>
      <t xml:space="preserve"> generated by all employees.</t>
    </r>
  </si>
  <si>
    <t>3. Average Salary</t>
  </si>
  <si>
    <r>
      <t xml:space="preserve">Find the </t>
    </r>
    <r>
      <rPr>
        <b/>
        <sz val="11"/>
        <color theme="1"/>
        <rFont val="Calibri"/>
        <family val="2"/>
        <scheme val="minor"/>
      </rPr>
      <t>average salary</t>
    </r>
    <r>
      <rPr>
        <sz val="11"/>
        <color theme="1"/>
        <rFont val="Calibri"/>
        <family val="2"/>
        <scheme val="minor"/>
      </rPr>
      <t xml:space="preserve"> of all employees.</t>
    </r>
  </si>
  <si>
    <t>4. Highest Sales</t>
  </si>
  <si>
    <r>
      <t xml:space="preserve">Find the employee's </t>
    </r>
    <r>
      <rPr>
        <b/>
        <sz val="11"/>
        <color theme="1"/>
        <rFont val="Calibri"/>
        <family val="2"/>
        <scheme val="minor"/>
      </rPr>
      <t>highest sales amount</t>
    </r>
    <r>
      <rPr>
        <sz val="11"/>
        <color theme="1"/>
        <rFont val="Calibri"/>
        <family val="2"/>
        <scheme val="minor"/>
      </rPr>
      <t>.</t>
    </r>
  </si>
  <si>
    <t>5. Lowest Salary</t>
  </si>
  <si>
    <r>
      <t xml:space="preserve">Find the </t>
    </r>
    <r>
      <rPr>
        <b/>
        <sz val="11"/>
        <color theme="1"/>
        <rFont val="Calibri"/>
        <family val="2"/>
        <scheme val="minor"/>
      </rPr>
      <t>lowest salary</t>
    </r>
    <r>
      <rPr>
        <sz val="11"/>
        <color theme="1"/>
        <rFont val="Calibri"/>
        <family val="2"/>
        <scheme val="minor"/>
      </rPr>
      <t xml:space="preserve"> among all employees.</t>
    </r>
  </si>
  <si>
    <t>6. Count Employees</t>
  </si>
  <si>
    <t>Count the total number of employees.</t>
  </si>
  <si>
    <t>7. Sales Department Salary</t>
  </si>
  <si>
    <r>
      <t xml:space="preserve">Calculate the </t>
    </r>
    <r>
      <rPr>
        <b/>
        <sz val="11"/>
        <color theme="1"/>
        <rFont val="Calibri"/>
        <family val="2"/>
        <scheme val="minor"/>
      </rPr>
      <t>total salary paid to Sales department employees</t>
    </r>
    <r>
      <rPr>
        <sz val="11"/>
        <color theme="1"/>
        <rFont val="Calibri"/>
        <family val="2"/>
        <scheme val="minor"/>
      </rPr>
      <t>.</t>
    </r>
  </si>
  <si>
    <t>8. IT Department Sales</t>
  </si>
  <si>
    <r>
      <t xml:space="preserve">Calculate the </t>
    </r>
    <r>
      <rPr>
        <b/>
        <sz val="11"/>
        <color theme="1"/>
        <rFont val="Calibri"/>
        <family val="2"/>
        <scheme val="minor"/>
      </rPr>
      <t>total sales generated by IT employees</t>
    </r>
    <r>
      <rPr>
        <sz val="11"/>
        <color theme="1"/>
        <rFont val="Calibri"/>
        <family val="2"/>
        <scheme val="minor"/>
      </rPr>
      <t>.</t>
    </r>
  </si>
  <si>
    <t>9. Average Finance Salary</t>
  </si>
  <si>
    <r>
      <t xml:space="preserve">Calculate the </t>
    </r>
    <r>
      <rPr>
        <b/>
        <sz val="11"/>
        <color theme="1"/>
        <rFont val="Calibri"/>
        <family val="2"/>
        <scheme val="minor"/>
      </rPr>
      <t>average salary of Finance employees</t>
    </r>
    <r>
      <rPr>
        <sz val="11"/>
        <color theme="1"/>
        <rFont val="Calibri"/>
        <family val="2"/>
        <scheme val="minor"/>
      </rPr>
      <t>.</t>
    </r>
  </si>
  <si>
    <t>10. Count High Performers</t>
  </si>
  <si>
    <r>
      <t xml:space="preserve">Count employees whose </t>
    </r>
    <r>
      <rPr>
        <b/>
        <sz val="11"/>
        <color theme="1"/>
        <rFont val="Calibri"/>
        <family val="2"/>
        <scheme val="minor"/>
      </rPr>
      <t>Rating is 4 or above</t>
    </r>
    <r>
      <rPr>
        <sz val="11"/>
        <color theme="1"/>
        <rFont val="Calibri"/>
        <family val="2"/>
        <scheme val="minor"/>
      </rPr>
      <t>.</t>
    </r>
  </si>
  <si>
    <t>11. Target Achievement</t>
  </si>
  <si>
    <r>
      <t xml:space="preserve">If Sales is greater than or equal to Target, display </t>
    </r>
    <r>
      <rPr>
        <b/>
        <sz val="11"/>
        <color theme="1"/>
        <rFont val="Calibri"/>
        <family val="2"/>
        <scheme val="minor"/>
      </rPr>
      <t>"Achieved"</t>
    </r>
    <r>
      <rPr>
        <sz val="11"/>
        <color theme="1"/>
        <rFont val="Calibri"/>
        <family val="2"/>
        <scheme val="minor"/>
      </rPr>
      <t xml:space="preserve">, otherwise </t>
    </r>
    <r>
      <rPr>
        <b/>
        <sz val="11"/>
        <color theme="1"/>
        <rFont val="Calibri"/>
        <family val="2"/>
        <scheme val="minor"/>
      </rPr>
      <t>"Not Achieved"</t>
    </r>
    <r>
      <rPr>
        <sz val="11"/>
        <color theme="1"/>
        <rFont val="Calibri"/>
        <family val="2"/>
        <scheme val="minor"/>
      </rPr>
      <t>.</t>
    </r>
  </si>
  <si>
    <t>12. Performance Status</t>
  </si>
  <si>
    <r>
      <t xml:space="preserve">If Rating is </t>
    </r>
    <r>
      <rPr>
        <b/>
        <sz val="11"/>
        <color theme="1"/>
        <rFont val="Calibri"/>
        <family val="2"/>
        <scheme val="minor"/>
      </rPr>
      <t>4 or 5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"Good"</t>
    </r>
    <r>
      <rPr>
        <sz val="11"/>
        <color theme="1"/>
        <rFont val="Calibri"/>
        <family val="2"/>
        <scheme val="minor"/>
      </rPr>
      <t xml:space="preserve">, otherwise </t>
    </r>
    <r>
      <rPr>
        <b/>
        <sz val="11"/>
        <color theme="1"/>
        <rFont val="Calibri"/>
        <family val="2"/>
        <scheme val="minor"/>
      </rPr>
      <t>"Needs Improvement"</t>
    </r>
    <r>
      <rPr>
        <sz val="11"/>
        <color theme="1"/>
        <rFont val="Calibri"/>
        <family val="2"/>
        <scheme val="minor"/>
      </rPr>
      <t>.</t>
    </r>
  </si>
  <si>
    <t>13. Bonus Eligibility</t>
  </si>
  <si>
    <t>An employee receives a bonus if:</t>
  </si>
  <si>
    <t>Salary &gt; ₹50,000</t>
  </si>
  <si>
    <t>Experience &gt; 3 years</t>
  </si>
  <si>
    <r>
      <t xml:space="preserve">Display </t>
    </r>
    <r>
      <rPr>
        <b/>
        <sz val="11"/>
        <color theme="1"/>
        <rFont val="Calibri"/>
        <family val="2"/>
        <scheme val="minor"/>
      </rPr>
      <t>"Bonus"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"No Bonus"</t>
    </r>
    <r>
      <rPr>
        <sz val="11"/>
        <color theme="1"/>
        <rFont val="Calibri"/>
        <family val="2"/>
        <scheme val="minor"/>
      </rPr>
      <t>.</t>
    </r>
  </si>
  <si>
    <t>14. Promotion Eligibility</t>
  </si>
  <si>
    <t>An employee is eligible for promotion if:</t>
  </si>
  <si>
    <t>Rating &gt;= 4</t>
  </si>
  <si>
    <t>Attendance &gt;= 95%</t>
  </si>
  <si>
    <t>Sales &gt;= Target</t>
  </si>
  <si>
    <r>
      <t xml:space="preserve">Display </t>
    </r>
    <r>
      <rPr>
        <b/>
        <sz val="11"/>
        <color theme="1"/>
        <rFont val="Calibri"/>
        <family val="2"/>
        <scheme val="minor"/>
      </rPr>
      <t>"Eligible"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"Not Eligible"</t>
    </r>
    <r>
      <rPr>
        <sz val="11"/>
        <color theme="1"/>
        <rFont val="Calibri"/>
        <family val="2"/>
        <scheme val="minor"/>
      </rPr>
      <t>.</t>
    </r>
  </si>
  <si>
    <t>15. Special Bonus</t>
  </si>
  <si>
    <r>
      <t xml:space="preserve">Give </t>
    </r>
    <r>
      <rPr>
        <b/>
        <sz val="11"/>
        <color theme="1"/>
        <rFont val="Calibri"/>
        <family val="2"/>
        <scheme val="minor"/>
      </rPr>
      <t>"Special Bonus"</t>
    </r>
    <r>
      <rPr>
        <sz val="11"/>
        <color theme="1"/>
        <rFont val="Calibri"/>
        <family val="2"/>
        <scheme val="minor"/>
      </rPr>
      <t xml:space="preserve"> if:</t>
    </r>
  </si>
  <si>
    <r>
      <t xml:space="preserve">Department is IT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Finance</t>
    </r>
  </si>
  <si>
    <t>AND Sales &gt; Target</t>
  </si>
  <si>
    <r>
      <t xml:space="preserve">Otherwise display </t>
    </r>
    <r>
      <rPr>
        <b/>
        <sz val="11"/>
        <color theme="1"/>
        <rFont val="Calibri"/>
        <family val="2"/>
        <scheme val="minor"/>
      </rPr>
      <t>"No Bonus"</t>
    </r>
    <r>
      <rPr>
        <sz val="11"/>
        <color theme="1"/>
        <rFont val="Calibri"/>
        <family val="2"/>
        <scheme val="minor"/>
      </rPr>
      <t>.</t>
    </r>
  </si>
  <si>
    <t>16. Salary Category</t>
  </si>
  <si>
    <t>Create categories:</t>
  </si>
  <si>
    <r>
      <t xml:space="preserve">Salary &gt;= ₹70,000 → </t>
    </r>
    <r>
      <rPr>
        <b/>
        <sz val="11"/>
        <color theme="1"/>
        <rFont val="Calibri"/>
        <family val="2"/>
        <scheme val="minor"/>
      </rPr>
      <t>High</t>
    </r>
  </si>
  <si>
    <r>
      <t xml:space="preserve">Salary &gt;= ₹50,000 → </t>
    </r>
    <r>
      <rPr>
        <b/>
        <sz val="11"/>
        <color theme="1"/>
        <rFont val="Calibri"/>
        <family val="2"/>
        <scheme val="minor"/>
      </rPr>
      <t>Medium</t>
    </r>
  </si>
  <si>
    <r>
      <t xml:space="preserve">Otherwise → </t>
    </r>
    <r>
      <rPr>
        <b/>
        <sz val="11"/>
        <color theme="1"/>
        <rFont val="Calibri"/>
        <family val="2"/>
        <scheme val="minor"/>
      </rPr>
      <t>Low</t>
    </r>
  </si>
  <si>
    <t>17. Sales Performance</t>
  </si>
  <si>
    <t>If:</t>
  </si>
  <si>
    <r>
      <t xml:space="preserve">Sales &gt;= Target → </t>
    </r>
    <r>
      <rPr>
        <b/>
        <sz val="11"/>
        <color theme="1"/>
        <rFont val="Calibri"/>
        <family val="2"/>
        <scheme val="minor"/>
      </rPr>
      <t>"Excellent"</t>
    </r>
  </si>
  <si>
    <r>
      <t xml:space="preserve">Sales &gt;= 90% of Target → </t>
    </r>
    <r>
      <rPr>
        <b/>
        <sz val="11"/>
        <color theme="1"/>
        <rFont val="Calibri"/>
        <family val="2"/>
        <scheme val="minor"/>
      </rPr>
      <t>"Average"</t>
    </r>
  </si>
  <si>
    <r>
      <t xml:space="preserve">Otherwise → </t>
    </r>
    <r>
      <rPr>
        <b/>
        <sz val="11"/>
        <color theme="1"/>
        <rFont val="Calibri"/>
        <family val="2"/>
        <scheme val="minor"/>
      </rPr>
      <t>"Poor"</t>
    </r>
  </si>
  <si>
    <t>18. Attendance Status</t>
  </si>
  <si>
    <r>
      <t xml:space="preserve">If Attendance &gt;= 95% → </t>
    </r>
    <r>
      <rPr>
        <b/>
        <sz val="11"/>
        <color theme="1"/>
        <rFont val="Calibri"/>
        <family val="2"/>
        <scheme val="minor"/>
      </rPr>
      <t>"Excellent"</t>
    </r>
  </si>
  <si>
    <r>
      <t xml:space="preserve">If Attendance &gt;= 90% → </t>
    </r>
    <r>
      <rPr>
        <b/>
        <sz val="11"/>
        <color theme="1"/>
        <rFont val="Calibri"/>
        <family val="2"/>
        <scheme val="minor"/>
      </rPr>
      <t>"Good"</t>
    </r>
  </si>
  <si>
    <t>19. Employee Eligibility</t>
  </si>
  <si>
    <t>An employee is eligible for a company benefit if:</t>
  </si>
  <si>
    <t>Experience &gt;= 5 years</t>
  </si>
  <si>
    <t>AND Attendance &gt;= 90%</t>
  </si>
  <si>
    <t>20. Data Validation Check</t>
  </si>
  <si>
    <r>
      <t xml:space="preserve">If Sales or Target is blank, display </t>
    </r>
    <r>
      <rPr>
        <b/>
        <sz val="11"/>
        <color theme="1"/>
        <rFont val="Calibri"/>
        <family val="2"/>
        <scheme val="minor"/>
      </rPr>
      <t>"Check Data"</t>
    </r>
    <r>
      <rPr>
        <sz val="11"/>
        <color theme="1"/>
        <rFont val="Calibri"/>
        <family val="2"/>
        <scheme val="minor"/>
      </rPr>
      <t xml:space="preserve">. Otherwise display </t>
    </r>
    <r>
      <rPr>
        <b/>
        <sz val="11"/>
        <color theme="1"/>
        <rFont val="Calibri"/>
        <family val="2"/>
        <scheme val="minor"/>
      </rPr>
      <t>"Valid"</t>
    </r>
    <r>
      <rPr>
        <sz val="11"/>
        <color theme="1"/>
        <rFont val="Calibri"/>
        <family val="2"/>
        <scheme val="minor"/>
      </rPr>
      <t>.</t>
    </r>
  </si>
  <si>
    <t>21. Extract First Name</t>
  </si>
  <si>
    <r>
      <t xml:space="preserve">From </t>
    </r>
    <r>
      <rPr>
        <sz val="10"/>
        <color theme="1"/>
        <rFont val="Arial Unicode MS"/>
      </rPr>
      <t>Employee Name</t>
    </r>
    <r>
      <rPr>
        <sz val="11"/>
        <color theme="1"/>
        <rFont val="Calibri"/>
        <family val="2"/>
        <scheme val="minor"/>
      </rPr>
      <t xml:space="preserve">, extract only the </t>
    </r>
    <r>
      <rPr>
        <b/>
        <sz val="11"/>
        <color theme="1"/>
        <rFont val="Calibri"/>
        <family val="2"/>
        <scheme val="minor"/>
      </rPr>
      <t>first name</t>
    </r>
    <r>
      <rPr>
        <sz val="11"/>
        <color theme="1"/>
        <rFont val="Calibri"/>
        <family val="2"/>
        <scheme val="minor"/>
      </rPr>
      <t>.</t>
    </r>
  </si>
  <si>
    <t>Example:</t>
  </si>
  <si>
    <r>
      <t>Amit Sharma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Amit</t>
    </r>
  </si>
  <si>
    <t>22. Extract Last Name</t>
  </si>
  <si>
    <t>Extract the last name from Employee Name.</t>
  </si>
  <si>
    <r>
      <t>Neha Patel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Patel</t>
    </r>
  </si>
  <si>
    <t>23. Create Employee Code</t>
  </si>
  <si>
    <t>Create a new code using:</t>
  </si>
  <si>
    <t>First 3 letters of Department + Last 3 digits of Emp ID</t>
  </si>
  <si>
    <r>
      <t>Sales + E001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SAL001</t>
    </r>
  </si>
  <si>
    <t>24. Create Official Email</t>
  </si>
  <si>
    <t>Create an email using the employee's first name:</t>
  </si>
  <si>
    <r>
      <t>Amit Sharma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amit@company.com</t>
    </r>
  </si>
  <si>
    <t>25. Full Employee Information</t>
  </si>
  <si>
    <t>Create a sentence like:</t>
  </si>
  <si>
    <t>"Amit Sharma works in Sales department."</t>
  </si>
  <si>
    <t>26. Employee ID Check</t>
  </si>
  <si>
    <r>
      <t xml:space="preserve">Check whether Emp ID starts with </t>
    </r>
    <r>
      <rPr>
        <b/>
        <sz val="11"/>
        <color theme="1"/>
        <rFont val="Calibri"/>
        <family val="2"/>
        <scheme val="minor"/>
      </rPr>
      <t>"E"</t>
    </r>
    <r>
      <rPr>
        <sz val="11"/>
        <color theme="1"/>
        <rFont val="Calibri"/>
        <family val="2"/>
        <scheme val="minor"/>
      </rPr>
      <t>.</t>
    </r>
  </si>
  <si>
    <t>Display:</t>
  </si>
  <si>
    <t>"Valid ID"</t>
  </si>
  <si>
    <t>"Invalid ID"</t>
  </si>
  <si>
    <t>27. Find Employees from Mumbai</t>
  </si>
  <si>
    <r>
      <t xml:space="preserve">Check whether the employee's City contains the word </t>
    </r>
    <r>
      <rPr>
        <b/>
        <sz val="11"/>
        <color theme="1"/>
        <rFont val="Calibri"/>
        <family val="2"/>
        <scheme val="minor"/>
      </rPr>
      <t>"Mumbai"</t>
    </r>
    <r>
      <rPr>
        <sz val="11"/>
        <color theme="1"/>
        <rFont val="Calibri"/>
        <family val="2"/>
        <scheme val="minor"/>
      </rPr>
      <t>.</t>
    </r>
  </si>
  <si>
    <r>
      <t xml:space="preserve">Display </t>
    </r>
    <r>
      <rPr>
        <sz val="10"/>
        <color theme="1"/>
        <rFont val="Arial Unicode MS"/>
      </rPr>
      <t>"Mumbai Employee"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"Other City"</t>
    </r>
    <r>
      <rPr>
        <sz val="11"/>
        <color theme="1"/>
        <rFont val="Calibri"/>
        <family val="2"/>
        <scheme val="minor"/>
      </rPr>
      <t>.</t>
    </r>
  </si>
  <si>
    <t>28. Name Length Analysis</t>
  </si>
  <si>
    <t>Calculate the number of characters in each employee's name.</t>
  </si>
  <si>
    <r>
      <t>Amit Sharma</t>
    </r>
    <r>
      <rPr>
        <sz val="11"/>
        <color theme="1"/>
        <rFont val="Calibri"/>
        <family val="2"/>
        <scheme val="minor"/>
      </rPr>
      <t xml:space="preserve"> → 11</t>
    </r>
  </si>
  <si>
    <t>29. Convert Names to Uppercase</t>
  </si>
  <si>
    <t>Convert all employee names into uppercase.</t>
  </si>
  <si>
    <r>
      <t>Amit Sharma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AMIT SHARMA</t>
    </r>
  </si>
  <si>
    <r>
      <t>30. Employee Summary</t>
    </r>
    <r>
      <rPr>
        <sz val="11"/>
        <color theme="1"/>
        <rFont val="Calibri"/>
        <family val="2"/>
        <scheme val="minor"/>
      </rPr>
      <t xml:space="preserve"> ⭐</t>
    </r>
  </si>
  <si>
    <t>Create a final summary sentence using multiple columns:</t>
  </si>
  <si>
    <t>"Amit Sharma | Sales | Sales: ₹85000 | Target: ₹80000 | Achieved"</t>
  </si>
  <si>
    <t>The result should automatically change for every employee.</t>
  </si>
  <si>
    <t>SUCCESS STATUS</t>
  </si>
  <si>
    <t>RATING REVIEW</t>
  </si>
  <si>
    <t xml:space="preserve">BONUS </t>
  </si>
  <si>
    <t>SPECIAL BONUS</t>
  </si>
  <si>
    <t xml:space="preserve"> promotion ELIGIBILITY</t>
  </si>
  <si>
    <t>finance</t>
  </si>
  <si>
    <t>SALARY CATEGORY</t>
  </si>
  <si>
    <t>EMPLOYEE ELIGIBILITY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</si>
</sst>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4" fillId="0" borderId="0" xfId="0" applyFont="1"/>
    <xf numFmtId="0" fontId="4" fillId="0" borderId="0" xfId="0" applyFont="1" applyAlignment="1">
      <alignment horizontal="left" vertical="center" indent="1"/>
    </xf>
    <xf numFmtId="0" fontId="1" fillId="0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ohan@gmail.com" TargetMode="External"/><Relationship Id="rId3" Type="http://schemas.openxmlformats.org/officeDocument/2006/relationships/hyperlink" Target="mailto:rahul@gmail.com" TargetMode="External"/><Relationship Id="rId7" Type="http://schemas.openxmlformats.org/officeDocument/2006/relationships/hyperlink" Target="mailto:pooja@gmail.com" TargetMode="External"/><Relationship Id="rId2" Type="http://schemas.openxmlformats.org/officeDocument/2006/relationships/hyperlink" Target="mailto:neha@gmail.com" TargetMode="External"/><Relationship Id="rId1" Type="http://schemas.openxmlformats.org/officeDocument/2006/relationships/hyperlink" Target="mailto:amit@gmail.com" TargetMode="External"/><Relationship Id="rId6" Type="http://schemas.openxmlformats.org/officeDocument/2006/relationships/hyperlink" Target="mailto:karan@gmail.com" TargetMode="External"/><Relationship Id="rId5" Type="http://schemas.openxmlformats.org/officeDocument/2006/relationships/hyperlink" Target="mailto:sneha@gmail.com" TargetMode="External"/><Relationship Id="rId10" Type="http://schemas.openxmlformats.org/officeDocument/2006/relationships/hyperlink" Target="mailto:vijay@gmail.com" TargetMode="External"/><Relationship Id="rId4" Type="http://schemas.openxmlformats.org/officeDocument/2006/relationships/hyperlink" Target="mailto:priya@gmail.com" TargetMode="External"/><Relationship Id="rId9" Type="http://schemas.openxmlformats.org/officeDocument/2006/relationships/hyperlink" Target="mailto:anjali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12"/>
  <sheetViews>
    <sheetView zoomScale="131" zoomScaleNormal="131" workbookViewId="0">
      <selection activeCell="T2" sqref="T2"/>
    </sheetView>
  </sheetViews>
  <sheetFormatPr defaultRowHeight="14.4" x14ac:dyDescent="0.3"/>
  <cols>
    <col min="12" max="12" width="14" customWidth="1"/>
    <col min="15" max="15" width="16" customWidth="1"/>
    <col min="16" max="16" width="23.44140625" customWidth="1"/>
    <col min="17" max="17" width="21.5546875" customWidth="1"/>
    <col min="18" max="18" width="13.88671875" customWidth="1"/>
    <col min="19" max="19" width="15.109375" customWidth="1"/>
    <col min="20" max="20" width="17.44140625" customWidth="1"/>
    <col min="21" max="21" width="18" customWidth="1"/>
    <col min="22" max="22" width="16.6640625" customWidth="1"/>
  </cols>
  <sheetData>
    <row r="1" spans="2:21" ht="28.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O1" s="9" t="s">
        <v>144</v>
      </c>
      <c r="P1" s="9" t="s">
        <v>145</v>
      </c>
      <c r="Q1" s="9" t="s">
        <v>146</v>
      </c>
      <c r="R1" s="9" t="s">
        <v>148</v>
      </c>
      <c r="S1" s="9" t="s">
        <v>147</v>
      </c>
      <c r="T1" s="9" t="s">
        <v>150</v>
      </c>
      <c r="U1" s="9" t="s">
        <v>151</v>
      </c>
    </row>
    <row r="2" spans="2:21" ht="28.8" x14ac:dyDescent="0.3">
      <c r="B2" s="2" t="s">
        <v>12</v>
      </c>
      <c r="C2" s="2" t="s">
        <v>13</v>
      </c>
      <c r="D2" s="2" t="s">
        <v>149</v>
      </c>
      <c r="E2" s="2" t="s">
        <v>14</v>
      </c>
      <c r="F2" s="2">
        <v>45000</v>
      </c>
      <c r="G2" s="2">
        <v>85000</v>
      </c>
      <c r="H2" s="2">
        <v>80000</v>
      </c>
      <c r="I2" s="2">
        <v>4</v>
      </c>
      <c r="J2" s="2">
        <v>96</v>
      </c>
      <c r="K2" s="2">
        <v>5</v>
      </c>
      <c r="L2" s="2">
        <v>9876543210</v>
      </c>
      <c r="M2" s="3" t="s">
        <v>15</v>
      </c>
      <c r="O2" t="str">
        <f>IF(G2&lt;=H2,"ACHIVED","NOT ACHIEVED")</f>
        <v>NOT ACHIEVED</v>
      </c>
      <c r="P2" t="str" cm="1">
        <f t="array" ref="P2:P11">IF(I2:I11&lt;=4,"GOOD","NEEDS IMPROVEMENTS")</f>
        <v>GOOD</v>
      </c>
      <c r="Q2" t="str">
        <f>IF(AND(F2&gt;=50000,K2&gt;=3),"BONUS","NO BONUS")</f>
        <v>NO BONUS</v>
      </c>
      <c r="R2" t="str">
        <f>IF(AND(I2&gt;=4,J2&gt;=95%,G2&gt;=H2),"ELIGIBLE","NOTELIGIBLE")</f>
        <v>ELIGIBLE</v>
      </c>
      <c r="S2" t="str">
        <f>IF(AND(OR(D2="IT",D2="FINANCE"),G2&gt;H2),"BONUS","NO BONUS")</f>
        <v>BONUS</v>
      </c>
      <c r="T2" t="e">
        <f>IF(P2="GOOD",BONUS,IF(P2="EXCELLENT","OVER BONUS",IF(P2="NEED IMPROVEMENT",P2)))</f>
        <v>#NAME?</v>
      </c>
      <c r="U2" t="str">
        <f>IF(AND(dataset!K2:K11&gt;=5,dataset!J2:J11&gt;=95%),"ELIGIBLE","NOT ELIGIBLE")</f>
        <v>ELIGIBLE</v>
      </c>
    </row>
    <row r="3" spans="2:21" ht="28.8" x14ac:dyDescent="0.3">
      <c r="B3" s="2" t="s">
        <v>16</v>
      </c>
      <c r="C3" s="2" t="s">
        <v>17</v>
      </c>
      <c r="D3" s="2" t="s">
        <v>18</v>
      </c>
      <c r="E3" s="2" t="s">
        <v>19</v>
      </c>
      <c r="F3" s="2">
        <v>52000</v>
      </c>
      <c r="G3" s="2">
        <v>62000</v>
      </c>
      <c r="H3" s="2">
        <v>70000</v>
      </c>
      <c r="I3" s="2">
        <v>3</v>
      </c>
      <c r="J3" s="2">
        <v>91</v>
      </c>
      <c r="K3" s="2">
        <v>4</v>
      </c>
      <c r="L3" s="2">
        <v>9876501234</v>
      </c>
      <c r="M3" s="3" t="s">
        <v>20</v>
      </c>
      <c r="O3" t="str">
        <f t="shared" ref="O3:O11" si="0">IF(G3&lt;=H3,"ACHIVED","NOT ACHIEVED")</f>
        <v>ACHIVED</v>
      </c>
      <c r="P3" t="str">
        <v>GOOD</v>
      </c>
      <c r="Q3" t="str">
        <f t="shared" ref="Q3:Q11" si="1">IF(AND(F3&gt;=50000,K3&gt;=3),"BONUS","NO BONUS")</f>
        <v>BONUS</v>
      </c>
      <c r="R3" t="str">
        <f t="shared" ref="R3:R11" si="2">IF(AND(I3&gt;=4,J3&gt;=95%,G3&gt;=H3),"ELIGIBLE","NOTELIGIBLE")</f>
        <v>NOTELIGIBLE</v>
      </c>
      <c r="S3" t="str">
        <f t="shared" ref="S3:S12" si="3">IF(AND(OR(D3="IT",D3="FINANCE"),G3&gt;H3),"BONUS","NO BONUS")</f>
        <v>NO BONUS</v>
      </c>
      <c r="T3" t="e">
        <f>IF(P3="GOOD",BONUS,IF(P3="EXCELLENT","OVER BONUS",IF(P3="NEED IMPROVEMENT",P3)))</f>
        <v>#NAME?</v>
      </c>
      <c r="U3" t="str">
        <f>IF(AND(dataset!K3:K12&gt;=5,dataset!J3:J12&gt;=95%),"ELIGIBLE","NOT ELIGIBLE")</f>
        <v>NOT ELIGIBLE</v>
      </c>
    </row>
    <row r="4" spans="2:21" ht="28.8" x14ac:dyDescent="0.3">
      <c r="B4" s="2" t="s">
        <v>21</v>
      </c>
      <c r="C4" s="2" t="s">
        <v>22</v>
      </c>
      <c r="D4" s="2" t="s">
        <v>23</v>
      </c>
      <c r="E4" s="2" t="s">
        <v>14</v>
      </c>
      <c r="F4" s="2">
        <v>68000</v>
      </c>
      <c r="G4" s="2">
        <v>95000</v>
      </c>
      <c r="H4" s="2">
        <v>90000</v>
      </c>
      <c r="I4" s="2">
        <v>5</v>
      </c>
      <c r="J4" s="2">
        <v>98</v>
      </c>
      <c r="K4" s="2">
        <v>7</v>
      </c>
      <c r="L4" s="2">
        <v>9988776655</v>
      </c>
      <c r="M4" s="3" t="s">
        <v>24</v>
      </c>
      <c r="O4" t="str">
        <f t="shared" si="0"/>
        <v>NOT ACHIEVED</v>
      </c>
      <c r="P4" t="str">
        <v>NEEDS IMPROVEMENTS</v>
      </c>
      <c r="Q4" t="str">
        <f t="shared" si="1"/>
        <v>BONUS</v>
      </c>
      <c r="R4" t="str">
        <f t="shared" si="2"/>
        <v>ELIGIBLE</v>
      </c>
      <c r="S4" t="str">
        <f t="shared" si="3"/>
        <v>BONUS</v>
      </c>
      <c r="T4" t="b">
        <f>IF(P4="GOOD",BONUS,IF(P4="EXCELLENT","OVER BONUS",IF(P4="NEED IMPROVEMENT",P4)))</f>
        <v>0</v>
      </c>
      <c r="U4" t="str">
        <f>IF(AND(dataset!K4:K13&gt;=5,dataset!J4:J13&gt;=95%),"ELIGIBLE","NOT ELIGIBLE")</f>
        <v>ELIGIBLE</v>
      </c>
    </row>
    <row r="5" spans="2:21" ht="28.8" x14ac:dyDescent="0.3">
      <c r="B5" s="2" t="s">
        <v>25</v>
      </c>
      <c r="C5" s="2" t="s">
        <v>26</v>
      </c>
      <c r="D5" s="2" t="s">
        <v>5</v>
      </c>
      <c r="E5" s="2" t="s">
        <v>27</v>
      </c>
      <c r="F5" s="2">
        <v>48000</v>
      </c>
      <c r="G5" s="2">
        <v>72000</v>
      </c>
      <c r="H5" s="2">
        <v>80000</v>
      </c>
      <c r="I5" s="2">
        <v>3</v>
      </c>
      <c r="J5" s="2">
        <v>88</v>
      </c>
      <c r="K5" s="2">
        <v>3</v>
      </c>
      <c r="L5" s="2">
        <v>9876123456</v>
      </c>
      <c r="M5" s="3" t="s">
        <v>28</v>
      </c>
      <c r="O5" t="str">
        <f t="shared" si="0"/>
        <v>ACHIVED</v>
      </c>
      <c r="P5" t="str">
        <v>GOOD</v>
      </c>
      <c r="Q5" t="str">
        <f t="shared" si="1"/>
        <v>NO BONUS</v>
      </c>
      <c r="R5" t="str">
        <f t="shared" si="2"/>
        <v>NOTELIGIBLE</v>
      </c>
      <c r="S5" t="str">
        <f t="shared" si="3"/>
        <v>NO BONUS</v>
      </c>
      <c r="T5" t="e">
        <f>IF(P5="GOOD",BONUS,IF(P5="EXCELLENT","OVER BONUS",IF(P5="NEED IMPROVEMENT",P5)))</f>
        <v>#NAME?</v>
      </c>
      <c r="U5" t="str">
        <f>IF(AND(dataset!K5:K14&gt;=5,dataset!J5:J14&gt;=95%),"ELIGIBLE","NOT ELIGIBLE")</f>
        <v>NOT ELIGIBLE</v>
      </c>
    </row>
    <row r="6" spans="2:21" ht="28.8" x14ac:dyDescent="0.3">
      <c r="B6" s="2" t="s">
        <v>29</v>
      </c>
      <c r="C6" s="2" t="s">
        <v>30</v>
      </c>
      <c r="D6" s="2" t="s">
        <v>31</v>
      </c>
      <c r="E6" s="2" t="s">
        <v>19</v>
      </c>
      <c r="F6" s="2">
        <v>60000</v>
      </c>
      <c r="G6" s="2">
        <v>88000</v>
      </c>
      <c r="H6" s="2">
        <v>85000</v>
      </c>
      <c r="I6" s="2">
        <v>4</v>
      </c>
      <c r="J6" s="2">
        <v>94</v>
      </c>
      <c r="K6" s="2">
        <v>6</v>
      </c>
      <c r="L6" s="2">
        <v>9988123456</v>
      </c>
      <c r="M6" s="3" t="s">
        <v>32</v>
      </c>
      <c r="O6" t="str">
        <f t="shared" si="0"/>
        <v>NOT ACHIEVED</v>
      </c>
      <c r="P6" t="str">
        <v>GOOD</v>
      </c>
      <c r="Q6" t="str">
        <f t="shared" si="1"/>
        <v>BONUS</v>
      </c>
      <c r="R6" t="str">
        <f t="shared" si="2"/>
        <v>ELIGIBLE</v>
      </c>
      <c r="S6" t="str">
        <f t="shared" si="3"/>
        <v>BONUS</v>
      </c>
      <c r="T6" t="e">
        <f>IF(P6="GOOD",BONUS,IF(P6="EXCELLENT","OVER BONUS",IF(P6="NEED IMPROVEMENT",P6)))</f>
        <v>#NAME?</v>
      </c>
      <c r="U6" t="str">
        <f>IF(AND(dataset!K6:K15&gt;=5,dataset!J6:J15&gt;=95%),"ELIGIBLE","NOT ELIGIBLE")</f>
        <v>ELIGIBLE</v>
      </c>
    </row>
    <row r="7" spans="2:21" ht="28.8" x14ac:dyDescent="0.3">
      <c r="B7" s="2" t="s">
        <v>33</v>
      </c>
      <c r="C7" s="2" t="s">
        <v>34</v>
      </c>
      <c r="D7" s="2" t="s">
        <v>23</v>
      </c>
      <c r="E7" s="2" t="s">
        <v>35</v>
      </c>
      <c r="F7" s="2">
        <v>75000</v>
      </c>
      <c r="G7" s="2">
        <v>110000</v>
      </c>
      <c r="H7" s="2">
        <v>100000</v>
      </c>
      <c r="I7" s="2">
        <v>5</v>
      </c>
      <c r="J7" s="2">
        <v>97</v>
      </c>
      <c r="K7" s="2">
        <v>8</v>
      </c>
      <c r="L7" s="2">
        <v>9898989898</v>
      </c>
      <c r="M7" s="3" t="s">
        <v>36</v>
      </c>
      <c r="O7" t="str">
        <f t="shared" si="0"/>
        <v>NOT ACHIEVED</v>
      </c>
      <c r="P7" t="str">
        <v>NEEDS IMPROVEMENTS</v>
      </c>
      <c r="Q7" t="str">
        <f t="shared" si="1"/>
        <v>BONUS</v>
      </c>
      <c r="R7" t="str">
        <f t="shared" si="2"/>
        <v>ELIGIBLE</v>
      </c>
      <c r="S7" t="str">
        <f t="shared" si="3"/>
        <v>BONUS</v>
      </c>
      <c r="T7" t="b">
        <f>IF(P7="GOOD",BONUS,IF(P7="EXCELLENT","OVER BONUS",IF(P7="NEED IMPROVEMENT",P7)))</f>
        <v>0</v>
      </c>
      <c r="U7" t="str">
        <f>IF(AND(dataset!K7:K16&gt;=5,dataset!J7:J16&gt;=95%),"ELIGIBLE","NOT ELIGIBLE")</f>
        <v>ELIGIBLE</v>
      </c>
    </row>
    <row r="8" spans="2:21" ht="28.8" x14ac:dyDescent="0.3">
      <c r="B8" s="2" t="s">
        <v>37</v>
      </c>
      <c r="C8" s="2" t="s">
        <v>38</v>
      </c>
      <c r="D8" s="2" t="s">
        <v>18</v>
      </c>
      <c r="E8" s="2" t="s">
        <v>14</v>
      </c>
      <c r="F8" s="2">
        <v>50000</v>
      </c>
      <c r="G8" s="2">
        <v>75000</v>
      </c>
      <c r="H8" s="2">
        <v>70000</v>
      </c>
      <c r="I8" s="2">
        <v>4</v>
      </c>
      <c r="J8" s="2">
        <v>92</v>
      </c>
      <c r="K8" s="2">
        <v>5</v>
      </c>
      <c r="L8" s="2">
        <v>9876541230</v>
      </c>
      <c r="M8" s="3" t="s">
        <v>39</v>
      </c>
      <c r="O8" t="str">
        <f t="shared" si="0"/>
        <v>NOT ACHIEVED</v>
      </c>
      <c r="P8" t="str">
        <v>GOOD</v>
      </c>
      <c r="Q8" t="str">
        <f t="shared" si="1"/>
        <v>BONUS</v>
      </c>
      <c r="R8" t="str">
        <f t="shared" si="2"/>
        <v>ELIGIBLE</v>
      </c>
      <c r="S8" t="str">
        <f t="shared" si="3"/>
        <v>NO BONUS</v>
      </c>
      <c r="T8" t="e">
        <f>IF(P8="GOOD",BONUS,IF(P8="EXCELLENT","OVER BONUS",IF(P8="NEED IMPROVEMENT",P8)))</f>
        <v>#NAME?</v>
      </c>
      <c r="U8" t="str">
        <f>IF(AND(dataset!K8:K17&gt;=5,dataset!J8:J17&gt;=95%),"ELIGIBLE","NOT ELIGIBLE")</f>
        <v>ELIGIBLE</v>
      </c>
    </row>
    <row r="9" spans="2:21" ht="28.8" x14ac:dyDescent="0.3">
      <c r="B9" s="2" t="s">
        <v>40</v>
      </c>
      <c r="C9" s="2" t="s">
        <v>41</v>
      </c>
      <c r="D9" s="2" t="s">
        <v>5</v>
      </c>
      <c r="E9" s="2" t="s">
        <v>19</v>
      </c>
      <c r="F9" s="2">
        <v>47000</v>
      </c>
      <c r="G9" s="2">
        <v>65000</v>
      </c>
      <c r="H9" s="2">
        <v>75000</v>
      </c>
      <c r="I9" s="2">
        <v>2</v>
      </c>
      <c r="J9" s="2">
        <v>85</v>
      </c>
      <c r="K9" s="2">
        <v>2</v>
      </c>
      <c r="L9" s="2">
        <v>9867543210</v>
      </c>
      <c r="M9" s="3" t="s">
        <v>42</v>
      </c>
      <c r="O9" t="str">
        <f t="shared" si="0"/>
        <v>ACHIVED</v>
      </c>
      <c r="P9" t="str">
        <v>GOOD</v>
      </c>
      <c r="Q9" t="str">
        <f t="shared" si="1"/>
        <v>NO BONUS</v>
      </c>
      <c r="R9" t="str">
        <f t="shared" si="2"/>
        <v>NOTELIGIBLE</v>
      </c>
      <c r="S9" t="str">
        <f t="shared" si="3"/>
        <v>NO BONUS</v>
      </c>
      <c r="T9" t="e">
        <f>IF(P9="GOOD",BONUS,IF(P9="EXCELLENT","OVER BONUS",IF(P9="NEED IMPROVEMENT",P9)))</f>
        <v>#NAME?</v>
      </c>
      <c r="U9" t="str">
        <f>IF(AND(dataset!K9:K18&gt;=5,dataset!J9:J18&gt;=95%),"ELIGIBLE","NOT ELIGIBLE")</f>
        <v>NOT ELIGIBLE</v>
      </c>
    </row>
    <row r="10" spans="2:21" ht="28.8" x14ac:dyDescent="0.3">
      <c r="B10" s="2" t="s">
        <v>43</v>
      </c>
      <c r="C10" s="2" t="s">
        <v>44</v>
      </c>
      <c r="D10" s="2" t="s">
        <v>31</v>
      </c>
      <c r="E10" s="2" t="s">
        <v>27</v>
      </c>
      <c r="F10" s="2">
        <v>63000</v>
      </c>
      <c r="G10" s="2">
        <v>92000</v>
      </c>
      <c r="H10" s="2">
        <v>90000</v>
      </c>
      <c r="I10" s="2">
        <v>4</v>
      </c>
      <c r="J10" s="2">
        <v>95</v>
      </c>
      <c r="K10" s="2">
        <v>7</v>
      </c>
      <c r="L10" s="2">
        <v>9988771122</v>
      </c>
      <c r="M10" s="3" t="s">
        <v>45</v>
      </c>
      <c r="O10" t="str">
        <f t="shared" si="0"/>
        <v>NOT ACHIEVED</v>
      </c>
      <c r="P10" t="str">
        <v>GOOD</v>
      </c>
      <c r="Q10" t="str">
        <f t="shared" si="1"/>
        <v>BONUS</v>
      </c>
      <c r="R10" t="str">
        <f t="shared" si="2"/>
        <v>ELIGIBLE</v>
      </c>
      <c r="S10" t="str">
        <f t="shared" si="3"/>
        <v>BONUS</v>
      </c>
      <c r="T10" t="e">
        <f>IF(P10="GOOD",BONUS,IF(P10="EXCELLENT","OVER BONUS",IF(P10="NEED IMPROVEMENT",P10)))</f>
        <v>#NAME?</v>
      </c>
      <c r="U10" t="str">
        <f>IF(AND(dataset!K10:K19&gt;=5,dataset!J10:J19&gt;=95%),"ELIGIBLE","NOT ELIGIBLE")</f>
        <v>ELIGIBLE</v>
      </c>
    </row>
    <row r="11" spans="2:21" ht="28.8" x14ac:dyDescent="0.3">
      <c r="B11" s="2" t="s">
        <v>46</v>
      </c>
      <c r="C11" s="2" t="s">
        <v>47</v>
      </c>
      <c r="D11" s="2" t="s">
        <v>23</v>
      </c>
      <c r="E11" s="2" t="s">
        <v>35</v>
      </c>
      <c r="F11" s="2">
        <v>72000</v>
      </c>
      <c r="G11" s="2">
        <v>98000</v>
      </c>
      <c r="H11" s="2">
        <v>100000</v>
      </c>
      <c r="I11" s="2">
        <v>3</v>
      </c>
      <c r="J11" s="2">
        <v>90</v>
      </c>
      <c r="K11" s="2">
        <v>6</v>
      </c>
      <c r="L11" s="2">
        <v>9876123987</v>
      </c>
      <c r="M11" s="3" t="s">
        <v>48</v>
      </c>
      <c r="O11" t="str">
        <f t="shared" si="0"/>
        <v>ACHIVED</v>
      </c>
      <c r="P11" t="str">
        <v>GOOD</v>
      </c>
      <c r="Q11" t="str">
        <f t="shared" si="1"/>
        <v>BONUS</v>
      </c>
      <c r="R11" t="str">
        <f t="shared" si="2"/>
        <v>NOTELIGIBLE</v>
      </c>
      <c r="S11" t="str">
        <f t="shared" si="3"/>
        <v>NO BONUS</v>
      </c>
      <c r="T11" t="e">
        <f>IF(P11="GOOD",BONUS,IF(P11="EXCELLENT","OVER BONUS",IF(P11="NEED IMPROVEMENT",P11)))</f>
        <v>#NAME?</v>
      </c>
      <c r="U11" t="str">
        <f>IF(AND(dataset!K11:K20&gt;=5,dataset!J11:J20&gt;=95%),"ELIGIBLE","NOT ELIGIBLE")</f>
        <v>ELIGIBLE</v>
      </c>
    </row>
    <row r="12" spans="2:21" x14ac:dyDescent="0.3">
      <c r="F12">
        <f>SUM(F2:F11)</f>
        <v>580000</v>
      </c>
      <c r="S12" t="str">
        <f t="shared" si="3"/>
        <v>NO BONUS</v>
      </c>
      <c r="T12" t="b">
        <f>IF(P12="GOOD",BONUS,IF(P12="EXCELLENT","OVER BONUS",IF(P12="NEED IMPROVEMENT",P12)))</f>
        <v>0</v>
      </c>
      <c r="U12" t="str">
        <f>IF(AND(dataset!K12:K21&gt;=5,dataset!J12:J21&gt;=95%),"ELIGIBLE","NOT ELIGIBLE")</f>
        <v>NOT ELIGIBLE</v>
      </c>
    </row>
  </sheetData>
  <hyperlinks>
    <hyperlink ref="M2" r:id="rId1" display="mailto:amit@gmail.com"/>
    <hyperlink ref="M3" r:id="rId2" display="mailto:neha@gmail.com"/>
    <hyperlink ref="M4" r:id="rId3" display="mailto:rahul@gmail.com"/>
    <hyperlink ref="M5" r:id="rId4" display="mailto:priya@gmail.com"/>
    <hyperlink ref="M6" r:id="rId5" display="mailto:sneha@gmail.com"/>
    <hyperlink ref="M7" r:id="rId6" display="mailto:karan@gmail.com"/>
    <hyperlink ref="M8" r:id="rId7" display="mailto:pooja@gmail.com"/>
    <hyperlink ref="M9" r:id="rId8" display="mailto:rohan@gmail.com"/>
    <hyperlink ref="M10" r:id="rId9" display="mailto:anjali@gmail.com"/>
    <hyperlink ref="M11" r:id="rId10" display="mailto:vijay@gmail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41"/>
  <sheetViews>
    <sheetView topLeftCell="A37" zoomScale="99" zoomScaleNormal="99" workbookViewId="0">
      <selection activeCell="M39" sqref="M39"/>
    </sheetView>
  </sheetViews>
  <sheetFormatPr defaultRowHeight="14.4" x14ac:dyDescent="0.3"/>
  <cols>
    <col min="6" max="6" width="21.6640625" customWidth="1"/>
    <col min="8" max="8" width="10.109375" customWidth="1"/>
  </cols>
  <sheetData>
    <row r="2" spans="2:8" ht="23.4" x14ac:dyDescent="0.3">
      <c r="B2" s="4" t="s">
        <v>49</v>
      </c>
    </row>
    <row r="4" spans="2:8" x14ac:dyDescent="0.3">
      <c r="B4" s="5" t="s">
        <v>50</v>
      </c>
    </row>
    <row r="5" spans="2:8" x14ac:dyDescent="0.3">
      <c r="B5" t="s">
        <v>51</v>
      </c>
      <c r="H5">
        <f>SUM(dataset!$F$2:'dataset'!$F$11)</f>
        <v>580000</v>
      </c>
    </row>
    <row r="8" spans="2:8" x14ac:dyDescent="0.3">
      <c r="B8" s="5" t="s">
        <v>52</v>
      </c>
    </row>
    <row r="9" spans="2:8" x14ac:dyDescent="0.3">
      <c r="B9" t="s">
        <v>53</v>
      </c>
      <c r="H9">
        <f>SUM(dataset!$G$2:'dataset'!$G$11)</f>
        <v>842000</v>
      </c>
    </row>
    <row r="12" spans="2:8" x14ac:dyDescent="0.3">
      <c r="B12" s="5" t="s">
        <v>54</v>
      </c>
    </row>
    <row r="13" spans="2:8" x14ac:dyDescent="0.3">
      <c r="B13" t="s">
        <v>55</v>
      </c>
      <c r="H13">
        <f>AVERAGE(dataset!$G$2:'dataset'!$G$11)</f>
        <v>84200</v>
      </c>
    </row>
    <row r="16" spans="2:8" x14ac:dyDescent="0.3">
      <c r="B16" s="5" t="s">
        <v>56</v>
      </c>
    </row>
    <row r="17" spans="2:8" x14ac:dyDescent="0.3">
      <c r="B17" t="s">
        <v>57</v>
      </c>
      <c r="H17">
        <f>MAX(dataset!$G$2:$G$11)</f>
        <v>110000</v>
      </c>
    </row>
    <row r="20" spans="2:8" x14ac:dyDescent="0.3">
      <c r="B20" s="5" t="s">
        <v>58</v>
      </c>
    </row>
    <row r="21" spans="2:8" x14ac:dyDescent="0.3">
      <c r="B21" t="s">
        <v>59</v>
      </c>
      <c r="H21">
        <f>MIN(dataset!$G$2:$G$11)</f>
        <v>62000</v>
      </c>
    </row>
    <row r="24" spans="2:8" x14ac:dyDescent="0.3">
      <c r="B24" s="5" t="s">
        <v>60</v>
      </c>
    </row>
    <row r="25" spans="2:8" x14ac:dyDescent="0.3">
      <c r="B25" t="s">
        <v>61</v>
      </c>
      <c r="H25">
        <f>COUNTA(dataset!$C$2:$C$11)</f>
        <v>10</v>
      </c>
    </row>
    <row r="28" spans="2:8" x14ac:dyDescent="0.3">
      <c r="B28" s="5" t="s">
        <v>62</v>
      </c>
    </row>
    <row r="29" spans="2:8" x14ac:dyDescent="0.3">
      <c r="B29" t="s">
        <v>63</v>
      </c>
      <c r="H29">
        <f>SUMIF(dataset!$D$2:$D$11,"sales",dataset!$F$2:$F$11)</f>
        <v>95000</v>
      </c>
    </row>
    <row r="32" spans="2:8" x14ac:dyDescent="0.3">
      <c r="B32" s="5" t="s">
        <v>64</v>
      </c>
    </row>
    <row r="33" spans="2:8" x14ac:dyDescent="0.3">
      <c r="B33" t="s">
        <v>65</v>
      </c>
      <c r="H33">
        <f>SUMIF(dataset!$D$2:D11,"it",dataset!$G$2:$G$11)</f>
        <v>303000</v>
      </c>
    </row>
    <row r="36" spans="2:8" x14ac:dyDescent="0.3">
      <c r="B36" s="5" t="s">
        <v>66</v>
      </c>
    </row>
    <row r="37" spans="2:8" x14ac:dyDescent="0.3">
      <c r="B37" t="s">
        <v>67</v>
      </c>
      <c r="H37">
        <f>AVERAGEIF(dataset!$D$2:$D$11,"finance",dataset!$F$2:$F$11)</f>
        <v>56000</v>
      </c>
    </row>
    <row r="40" spans="2:8" x14ac:dyDescent="0.3">
      <c r="B40" s="5" t="s">
        <v>68</v>
      </c>
    </row>
    <row r="41" spans="2:8" x14ac:dyDescent="0.3">
      <c r="B41" t="s">
        <v>69</v>
      </c>
      <c r="H41">
        <f>COUNTIF(dataset!$I$2:$I$11,"&lt;=4")</f>
        <v>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74"/>
  <sheetViews>
    <sheetView topLeftCell="A49" zoomScale="141" zoomScaleNormal="141" workbookViewId="0">
      <selection activeCell="A57" sqref="A57"/>
    </sheetView>
  </sheetViews>
  <sheetFormatPr defaultRowHeight="14.4" x14ac:dyDescent="0.3"/>
  <cols>
    <col min="12" max="12" width="15" customWidth="1"/>
  </cols>
  <sheetData>
    <row r="2" spans="2:12" x14ac:dyDescent="0.3">
      <c r="B2" s="5" t="s">
        <v>70</v>
      </c>
    </row>
    <row r="3" spans="2:12" x14ac:dyDescent="0.3">
      <c r="B3" t="s">
        <v>71</v>
      </c>
      <c r="L3" t="str">
        <f>IF(dataset!$G$2&lt;=dataset!$H$2,"ACHIVED","NOT ACHIEVED")</f>
        <v>NOT ACHIEVED</v>
      </c>
    </row>
    <row r="6" spans="2:12" x14ac:dyDescent="0.3">
      <c r="B6" s="5" t="s">
        <v>72</v>
      </c>
    </row>
    <row r="7" spans="2:12" x14ac:dyDescent="0.3">
      <c r="B7" t="s">
        <v>73</v>
      </c>
    </row>
    <row r="10" spans="2:12" x14ac:dyDescent="0.3">
      <c r="B10" s="5" t="s">
        <v>74</v>
      </c>
    </row>
    <row r="11" spans="2:12" x14ac:dyDescent="0.3">
      <c r="B11" t="s">
        <v>75</v>
      </c>
    </row>
    <row r="12" spans="2:12" x14ac:dyDescent="0.3">
      <c r="B12" s="6"/>
    </row>
    <row r="13" spans="2:12" x14ac:dyDescent="0.3">
      <c r="B13" s="6" t="s">
        <v>76</v>
      </c>
    </row>
    <row r="14" spans="2:12" x14ac:dyDescent="0.3">
      <c r="B14" s="6" t="s">
        <v>77</v>
      </c>
    </row>
    <row r="16" spans="2:12" x14ac:dyDescent="0.3">
      <c r="B16" t="s">
        <v>78</v>
      </c>
    </row>
    <row r="19" spans="2:2" x14ac:dyDescent="0.3">
      <c r="B19" s="5" t="s">
        <v>79</v>
      </c>
    </row>
    <row r="20" spans="2:2" x14ac:dyDescent="0.3">
      <c r="B20" t="s">
        <v>80</v>
      </c>
    </row>
    <row r="21" spans="2:2" x14ac:dyDescent="0.3">
      <c r="B21" s="6"/>
    </row>
    <row r="22" spans="2:2" x14ac:dyDescent="0.3">
      <c r="B22" s="6" t="s">
        <v>81</v>
      </c>
    </row>
    <row r="23" spans="2:2" x14ac:dyDescent="0.3">
      <c r="B23" s="6" t="s">
        <v>82</v>
      </c>
    </row>
    <row r="24" spans="2:2" x14ac:dyDescent="0.3">
      <c r="B24" s="6" t="s">
        <v>83</v>
      </c>
    </row>
    <row r="26" spans="2:2" x14ac:dyDescent="0.3">
      <c r="B26" t="s">
        <v>84</v>
      </c>
    </row>
    <row r="29" spans="2:2" x14ac:dyDescent="0.3">
      <c r="B29" s="5" t="s">
        <v>85</v>
      </c>
    </row>
    <row r="30" spans="2:2" x14ac:dyDescent="0.3">
      <c r="B30" t="s">
        <v>86</v>
      </c>
    </row>
    <row r="31" spans="2:2" x14ac:dyDescent="0.3">
      <c r="B31" s="6"/>
    </row>
    <row r="32" spans="2:2" x14ac:dyDescent="0.3">
      <c r="B32" s="6" t="s">
        <v>87</v>
      </c>
    </row>
    <row r="33" spans="2:2" x14ac:dyDescent="0.3">
      <c r="B33" s="6" t="s">
        <v>88</v>
      </c>
    </row>
    <row r="35" spans="2:2" x14ac:dyDescent="0.3">
      <c r="B35" t="s">
        <v>89</v>
      </c>
    </row>
    <row r="38" spans="2:2" x14ac:dyDescent="0.3">
      <c r="B38" s="5" t="s">
        <v>90</v>
      </c>
    </row>
    <row r="39" spans="2:2" x14ac:dyDescent="0.3">
      <c r="B39" t="s">
        <v>91</v>
      </c>
    </row>
    <row r="40" spans="2:2" x14ac:dyDescent="0.3">
      <c r="B40" s="6"/>
    </row>
    <row r="41" spans="2:2" x14ac:dyDescent="0.3">
      <c r="B41" s="6" t="s">
        <v>92</v>
      </c>
    </row>
    <row r="42" spans="2:2" x14ac:dyDescent="0.3">
      <c r="B42" s="6" t="s">
        <v>93</v>
      </c>
    </row>
    <row r="43" spans="2:2" x14ac:dyDescent="0.3">
      <c r="B43" s="6" t="s">
        <v>94</v>
      </c>
    </row>
    <row r="47" spans="2:2" x14ac:dyDescent="0.3">
      <c r="B47" s="5" t="s">
        <v>95</v>
      </c>
    </row>
    <row r="48" spans="2:2" x14ac:dyDescent="0.3">
      <c r="B48" t="s">
        <v>96</v>
      </c>
    </row>
    <row r="49" spans="2:2" x14ac:dyDescent="0.3">
      <c r="B49" s="6"/>
    </row>
    <row r="50" spans="2:2" x14ac:dyDescent="0.3">
      <c r="B50" s="6" t="s">
        <v>97</v>
      </c>
    </row>
    <row r="51" spans="2:2" x14ac:dyDescent="0.3">
      <c r="B51" s="6" t="s">
        <v>98</v>
      </c>
    </row>
    <row r="52" spans="2:2" x14ac:dyDescent="0.3">
      <c r="B52" s="6" t="s">
        <v>99</v>
      </c>
    </row>
    <row r="56" spans="2:2" x14ac:dyDescent="0.3">
      <c r="B56" s="5" t="s">
        <v>100</v>
      </c>
    </row>
    <row r="57" spans="2:2" x14ac:dyDescent="0.3">
      <c r="B57" t="s">
        <v>101</v>
      </c>
    </row>
    <row r="58" spans="2:2" x14ac:dyDescent="0.3">
      <c r="B58" t="s">
        <v>102</v>
      </c>
    </row>
    <row r="59" spans="2:2" x14ac:dyDescent="0.3">
      <c r="B59" t="s">
        <v>99</v>
      </c>
    </row>
    <row r="63" spans="2:2" x14ac:dyDescent="0.3">
      <c r="B63" s="5" t="s">
        <v>103</v>
      </c>
    </row>
    <row r="64" spans="2:2" x14ac:dyDescent="0.3">
      <c r="B64" t="s">
        <v>104</v>
      </c>
    </row>
    <row r="65" spans="2:2" x14ac:dyDescent="0.3">
      <c r="B65" s="6"/>
    </row>
    <row r="66" spans="2:2" x14ac:dyDescent="0.3">
      <c r="B66" s="6" t="s">
        <v>105</v>
      </c>
    </row>
    <row r="67" spans="2:2" x14ac:dyDescent="0.3">
      <c r="B67" s="6" t="s">
        <v>106</v>
      </c>
    </row>
    <row r="69" spans="2:2" x14ac:dyDescent="0.3">
      <c r="B69" t="s">
        <v>84</v>
      </c>
    </row>
    <row r="73" spans="2:2" x14ac:dyDescent="0.3">
      <c r="B73" s="5" t="s">
        <v>107</v>
      </c>
    </row>
    <row r="74" spans="2:2" x14ac:dyDescent="0.3">
      <c r="B74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01"/>
  <sheetViews>
    <sheetView tabSelected="1" topLeftCell="A13" workbookViewId="0">
      <selection activeCell="H24" sqref="H24"/>
    </sheetView>
  </sheetViews>
  <sheetFormatPr defaultRowHeight="14.4" x14ac:dyDescent="0.3"/>
  <sheetData>
    <row r="2" spans="2:8" x14ac:dyDescent="0.3">
      <c r="B2" s="5" t="s">
        <v>109</v>
      </c>
    </row>
    <row r="3" spans="2:8" ht="15" x14ac:dyDescent="0.35">
      <c r="B3" t="s">
        <v>110</v>
      </c>
      <c r="H3" t="str">
        <f>LEFT(dataset!$C$2,5)</f>
        <v xml:space="preserve">Amit </v>
      </c>
    </row>
    <row r="5" spans="2:8" x14ac:dyDescent="0.3">
      <c r="B5" t="s">
        <v>111</v>
      </c>
    </row>
    <row r="6" spans="2:8" ht="15" x14ac:dyDescent="0.35">
      <c r="B6" s="7" t="s">
        <v>112</v>
      </c>
    </row>
    <row r="12" spans="2:8" x14ac:dyDescent="0.3">
      <c r="B12" s="5" t="s">
        <v>113</v>
      </c>
    </row>
    <row r="13" spans="2:8" x14ac:dyDescent="0.3">
      <c r="B13" t="s">
        <v>114</v>
      </c>
      <c r="H13" t="str">
        <f>RIGHT(dataset!$C$2,7)</f>
        <v xml:space="preserve"> Sharma</v>
      </c>
    </row>
    <row r="15" spans="2:8" x14ac:dyDescent="0.3">
      <c r="B15" t="s">
        <v>111</v>
      </c>
    </row>
    <row r="16" spans="2:8" ht="15" x14ac:dyDescent="0.35">
      <c r="B16" s="7" t="s">
        <v>115</v>
      </c>
    </row>
    <row r="22" spans="2:8" x14ac:dyDescent="0.3">
      <c r="B22" s="5" t="s">
        <v>116</v>
      </c>
    </row>
    <row r="23" spans="2:8" x14ac:dyDescent="0.3">
      <c r="B23" t="s">
        <v>117</v>
      </c>
    </row>
    <row r="25" spans="2:8" x14ac:dyDescent="0.3">
      <c r="B25" s="5" t="s">
        <v>118</v>
      </c>
      <c r="H25" t="str">
        <f>TEXT(LEFT(dataset!$D$2,3),RIGHT(dataset!$B$2,3))</f>
        <v>fin</v>
      </c>
    </row>
    <row r="27" spans="2:8" x14ac:dyDescent="0.3">
      <c r="B27" t="s">
        <v>111</v>
      </c>
    </row>
    <row r="28" spans="2:8" ht="15" x14ac:dyDescent="0.35">
      <c r="B28" s="7" t="s">
        <v>119</v>
      </c>
    </row>
    <row r="34" spans="2:2" x14ac:dyDescent="0.3">
      <c r="B34" s="5" t="s">
        <v>120</v>
      </c>
    </row>
    <row r="35" spans="2:2" x14ac:dyDescent="0.3">
      <c r="B35" t="s">
        <v>121</v>
      </c>
    </row>
    <row r="37" spans="2:2" x14ac:dyDescent="0.3">
      <c r="B37" t="s">
        <v>111</v>
      </c>
    </row>
    <row r="39" spans="2:2" ht="15" x14ac:dyDescent="0.35">
      <c r="B39" s="7" t="s">
        <v>122</v>
      </c>
    </row>
    <row r="45" spans="2:2" x14ac:dyDescent="0.3">
      <c r="B45" s="5" t="s">
        <v>123</v>
      </c>
    </row>
    <row r="46" spans="2:2" x14ac:dyDescent="0.3">
      <c r="B46" t="s">
        <v>124</v>
      </c>
    </row>
    <row r="48" spans="2:2" x14ac:dyDescent="0.3">
      <c r="B48" s="5" t="s">
        <v>125</v>
      </c>
    </row>
    <row r="54" spans="2:2" x14ac:dyDescent="0.3">
      <c r="B54" s="5" t="s">
        <v>126</v>
      </c>
    </row>
    <row r="55" spans="2:2" x14ac:dyDescent="0.3">
      <c r="B55" t="s">
        <v>127</v>
      </c>
    </row>
    <row r="57" spans="2:2" x14ac:dyDescent="0.3">
      <c r="B57" t="s">
        <v>128</v>
      </c>
    </row>
    <row r="58" spans="2:2" x14ac:dyDescent="0.3">
      <c r="B58" s="6"/>
    </row>
    <row r="59" spans="2:2" ht="15" x14ac:dyDescent="0.3">
      <c r="B59" s="8" t="s">
        <v>129</v>
      </c>
    </row>
    <row r="60" spans="2:2" ht="15" x14ac:dyDescent="0.3">
      <c r="B60" s="8" t="s">
        <v>130</v>
      </c>
    </row>
    <row r="66" spans="2:2" x14ac:dyDescent="0.3">
      <c r="B66" s="5" t="s">
        <v>131</v>
      </c>
    </row>
    <row r="67" spans="2:2" x14ac:dyDescent="0.3">
      <c r="B67" t="s">
        <v>132</v>
      </c>
    </row>
    <row r="69" spans="2:2" ht="15" x14ac:dyDescent="0.35">
      <c r="B69" t="s">
        <v>133</v>
      </c>
    </row>
    <row r="75" spans="2:2" x14ac:dyDescent="0.3">
      <c r="B75" s="5" t="s">
        <v>134</v>
      </c>
    </row>
    <row r="76" spans="2:2" x14ac:dyDescent="0.3">
      <c r="B76" t="s">
        <v>135</v>
      </c>
    </row>
    <row r="78" spans="2:2" x14ac:dyDescent="0.3">
      <c r="B78" t="s">
        <v>111</v>
      </c>
    </row>
    <row r="79" spans="2:2" ht="15" x14ac:dyDescent="0.35">
      <c r="B79" s="7" t="s">
        <v>136</v>
      </c>
    </row>
    <row r="85" spans="2:2" x14ac:dyDescent="0.3">
      <c r="B85" s="5" t="s">
        <v>137</v>
      </c>
    </row>
    <row r="86" spans="2:2" x14ac:dyDescent="0.3">
      <c r="B86" t="s">
        <v>138</v>
      </c>
    </row>
    <row r="88" spans="2:2" x14ac:dyDescent="0.3">
      <c r="B88" t="s">
        <v>111</v>
      </c>
    </row>
    <row r="90" spans="2:2" ht="15" x14ac:dyDescent="0.35">
      <c r="B90" s="7" t="s">
        <v>139</v>
      </c>
    </row>
    <row r="96" spans="2:2" x14ac:dyDescent="0.3">
      <c r="B96" s="5" t="s">
        <v>140</v>
      </c>
    </row>
    <row r="97" spans="2:2" x14ac:dyDescent="0.3">
      <c r="B97" t="s">
        <v>141</v>
      </c>
    </row>
    <row r="99" spans="2:2" x14ac:dyDescent="0.3">
      <c r="B99" s="5" t="s">
        <v>142</v>
      </c>
    </row>
    <row r="101" spans="2:2" x14ac:dyDescent="0.3">
      <c r="B101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Agreegate fonction</vt:lpstr>
      <vt:lpstr>Logical function</vt:lpstr>
      <vt:lpstr>Text Function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Aipptech Softech Institute</dc:creator>
  <cp:lastModifiedBy>Admin</cp:lastModifiedBy>
  <dcterms:created xsi:type="dcterms:W3CDTF">2026-09-16T12:46:33Z</dcterms:created>
  <dcterms:modified xsi:type="dcterms:W3CDTF">2026-09-23T17:18:00Z</dcterms:modified>
</cp:coreProperties>
</file>